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lnet FX Options" state="visible" r:id="rId4"/>
  </sheets>
  <calcPr calcId="171027"/>
</workbook>
</file>

<file path=xl/sharedStrings.xml><?xml version="1.0" encoding="utf-8"?>
<sst xmlns="http://schemas.openxmlformats.org/spreadsheetml/2006/main" count="25" uniqueCount="25">
  <si>
    <t>Celnet FX Options — live pricing &amp; contribution</t>
  </si>
  <si>
    <t>Add-in: CELNET.*  ·  server: ws://127.0.0.1:8081  ·  edit the inputs and watch the cells.</t>
  </si>
  <si>
    <t>Inputs</t>
  </si>
  <si>
    <t>Pair</t>
  </si>
  <si>
    <t>EURUSD</t>
  </si>
  <si>
    <t>Tenor</t>
  </si>
  <si>
    <t>1Y</t>
  </si>
  <si>
    <t>Strike / Delta</t>
  </si>
  <si>
    <t>1.12</t>
  </si>
  <si>
    <t>Call / Put</t>
  </si>
  <si>
    <t>C</t>
  </si>
  <si>
    <t>Notional</t>
  </si>
  <si>
    <t>Pricing (read)</t>
  </si>
  <si>
    <t>Price (premium)</t>
  </si>
  <si>
    <t>Live two-way (streams)</t>
  </si>
  <si>
    <t>Greeks (spills →)</t>
  </si>
  <si>
    <t>Surface (spills →)</t>
  </si>
  <si>
    <t>Contribution (write)</t>
  </si>
  <si>
    <t>Mark pillar</t>
  </si>
  <si>
    <t>ATM</t>
  </si>
  <si>
    <t>Mark vol</t>
  </si>
  <si>
    <t>Comment</t>
  </si>
  <si>
    <t>desk mark</t>
  </si>
  <si>
    <t>Submit mark →</t>
  </si>
  <si>
    <t>(returns the new surface_version; the read cells above re-price against your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</si>
</sst>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6CF0"/>
      <sz val="13"/>
    </font>
    <font>
      <i/>
      <color rgb="FF666666"/>
    </font>
    <font>
      <b/>
    </font>
    <font>
      <i/>
      <color rgb="FF666666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30" customWidth="1"/>
    <col min="4" max="4" width="18" customWidth="1"/>
    <col min="5" max="5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9" spans="1:2" x14ac:dyDescent="0.25">
      <c r="A9" s="3" t="s">
        <v>11</v>
      </c>
      <c r="B9">
        <v>1000000</v>
      </c>
    </row>
    <row r="11" spans="1:1" x14ac:dyDescent="0.25">
      <c r="A11" s="3" t="s">
        <v>12</v>
      </c>
    </row>
    <row r="12" spans="1:2" x14ac:dyDescent="0.25">
      <c r="A12" s="3" t="s">
        <v>13</v>
      </c>
      <c r="B12">
        <f>CELNET.PRICE(B5,B6,B7,B8,B9)</f>
      </c>
    </row>
    <row r="13" spans="1:2" x14ac:dyDescent="0.25">
      <c r="A13" s="3" t="s">
        <v>14</v>
      </c>
      <c r="B13">
        <f>CELNET.SUBSCRIBE(B5,B6,B7,B8,B9)</f>
      </c>
    </row>
    <row r="15" spans="1:2" x14ac:dyDescent="0.25">
      <c r="A15" s="3" t="s">
        <v>15</v>
      </c>
      <c r="B15">
        <f>CELNET.GREEKS(B5,B6,B7,B8,B9)</f>
      </c>
    </row>
    <row r="18" spans="1:2" x14ac:dyDescent="0.25">
      <c r="A18" s="3" t="s">
        <v>16</v>
      </c>
      <c r="B18">
        <f>CELNET.SURFACE(B5,B6)</f>
      </c>
    </row>
    <row r="28" spans="1:1" x14ac:dyDescent="0.25">
      <c r="A28" s="3" t="s">
        <v>17</v>
      </c>
    </row>
    <row r="29" spans="1:2" x14ac:dyDescent="0.25">
      <c r="A29" s="3" t="s">
        <v>18</v>
      </c>
      <c r="B29" t="s">
        <v>19</v>
      </c>
    </row>
    <row r="30" spans="1:2" x14ac:dyDescent="0.25">
      <c r="A30" s="3" t="s">
        <v>20</v>
      </c>
      <c r="B30">
        <v>0.123</v>
      </c>
    </row>
    <row r="31" spans="1:2" x14ac:dyDescent="0.25">
      <c r="A31" s="3" t="s">
        <v>21</v>
      </c>
      <c r="B31" t="s">
        <v>22</v>
      </c>
    </row>
    <row r="32" spans="1:2" x14ac:dyDescent="0.25">
      <c r="A32" s="3" t="s">
        <v>23</v>
      </c>
      <c r="B32">
        <f>CELNET.MARK(B5,B6,B29,B30,B31)</f>
      </c>
    </row>
    <row r="33" spans="1:1" x14ac:dyDescent="0.25">
      <c r="A33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Celnet FX 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Celnet</dc:creator>
  <dc:title/>
  <dc:subject/>
  <dc:description/>
  <cp:keywords/>
  <cp:category/>
  <cp:lastModifiedBy>Unknown</cp:lastModifiedBy>
  <dcterms:created xsi:type="dcterms:W3CDTF">2026-05-30T22:21:10Z</dcterms:created>
  <dcterms:modified xsi:type="dcterms:W3CDTF">2026-05-30T22:21:10Z</dcterms:modified>
</cp:coreProperties>
</file>